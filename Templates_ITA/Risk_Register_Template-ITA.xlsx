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2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Parameters" sheetId="2" state="visible" r:id="rId2"/>
    <sheet xmlns:r="http://schemas.openxmlformats.org/officeDocument/2006/relationships" name="Executive Vulnerabilit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indexed="8"/>
      <sz val="11"/>
    </font>
    <font>
      <name val="Aptos"/>
      <color indexed="8"/>
      <sz val="11"/>
    </font>
    <font>
      <name val="Aptos"/>
      <color indexed="15"/>
      <sz val="9"/>
    </font>
    <font>
      <name val="Aptos"/>
      <i val="1"/>
      <color indexed="13"/>
      <sz val="9"/>
    </font>
    <font>
      <name val="Aptos"/>
      <b val="1"/>
      <color indexed="12"/>
      <sz val="11"/>
    </font>
    <font>
      <name val="Aptos"/>
      <b val="1"/>
      <color indexed="13"/>
      <sz val="10"/>
    </font>
    <font>
      <name val="Aptos"/>
      <b val="1"/>
      <color rgb="FFBF3131"/>
      <sz val="11"/>
    </font>
    <font>
      <name val="Aptos"/>
      <b val="1"/>
      <color indexed="12"/>
      <sz val="10"/>
    </font>
    <font>
      <name val="Aptos"/>
      <color indexed="15"/>
      <sz val="10"/>
    </font>
    <font>
      <name val="Aptos"/>
      <b val="1"/>
      <color indexed="20"/>
      <sz val="10"/>
    </font>
    <font>
      <name val="Aptos"/>
      <b val="1"/>
      <color indexed="23"/>
      <sz val="10"/>
    </font>
    <font>
      <name val="Aptos"/>
      <i val="1"/>
      <color indexed="26"/>
      <sz val="9"/>
    </font>
    <font>
      <name val="Avenir Next LT Pro"/>
      <b val="1"/>
      <color rgb="FFFFFFFF"/>
      <sz val="18"/>
    </font>
    <font>
      <name val="Aptos"/>
      <color indexed="8"/>
      <sz val="18"/>
    </font>
  </fonts>
  <fills count="12">
    <fill>
      <patternFill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rgb="FFEAD196"/>
        <bgColor rgb="FF000000"/>
      </patternFill>
    </fill>
  </fills>
  <borders count="25">
    <border>
      <left/>
      <right/>
      <top/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/>
      <right/>
      <top/>
      <bottom style="thin">
        <color indexed="17"/>
      </bottom>
      <diagonal/>
    </border>
    <border>
      <left/>
      <right style="thin">
        <color indexed="14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4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4"/>
      </right>
      <top style="thin">
        <color indexed="17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 style="thin">
        <color indexed="14"/>
      </right>
      <top/>
      <bottom style="thin">
        <color indexed="17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rgb="FFAAAAAA"/>
      </left>
      <right/>
      <top style="thin">
        <color rgb="FFD5DCE5"/>
      </top>
      <bottom style="thin">
        <color rgb="FFD5DCE5"/>
      </bottom>
      <diagonal/>
    </border>
    <border>
      <left/>
      <right style="thin">
        <color indexed="17"/>
      </right>
      <top style="thin">
        <color indexed="17"/>
      </top>
      <bottom/>
      <diagonal/>
    </border>
  </borders>
  <cellStyleXfs count="1">
    <xf numFmtId="0" fontId="0" fillId="0" borderId="4"/>
  </cellStyleXfs>
  <cellXfs count="52">
    <xf numFmtId="0" fontId="0" fillId="0" borderId="0" pivotButton="0" quotePrefix="0" xfId="0"/>
    <xf numFmtId="0" fontId="0" fillId="0" borderId="11" pivotButton="0" quotePrefix="0" xfId="0"/>
    <xf numFmtId="49" fontId="2" fillId="3" borderId="22" applyAlignment="1" pivotButton="0" quotePrefix="0" xfId="0">
      <alignment horizontal="left" vertical="center" wrapText="1"/>
    </xf>
    <xf numFmtId="49" fontId="3" fillId="4" borderId="21" applyAlignment="1" pivotButton="0" quotePrefix="0" xfId="0">
      <alignment horizontal="left" vertical="center" wrapText="1"/>
    </xf>
    <xf numFmtId="49" fontId="4" fillId="5" borderId="8" applyAlignment="1" pivotButton="0" quotePrefix="0" xfId="0">
      <alignment horizontal="center" vertical="center" wrapText="1"/>
    </xf>
    <xf numFmtId="49" fontId="5" fillId="3" borderId="8" applyAlignment="1" pivotButton="0" quotePrefix="0" xfId="0">
      <alignment horizontal="left" vertical="center" wrapText="1"/>
    </xf>
    <xf numFmtId="49" fontId="2" fillId="3" borderId="8" applyAlignment="1" pivotButton="0" quotePrefix="0" xfId="0">
      <alignment horizontal="left" vertical="center" wrapText="1"/>
    </xf>
    <xf numFmtId="0" fontId="6" fillId="11" borderId="23" pivotButton="0" quotePrefix="0" xfId="0"/>
    <xf numFmtId="49" fontId="4" fillId="5" borderId="20" applyAlignment="1" pivotButton="0" quotePrefix="0" xfId="0">
      <alignment horizontal="left" vertical="center"/>
    </xf>
    <xf numFmtId="49" fontId="7" fillId="5" borderId="8" applyAlignment="1" pivotButton="0" quotePrefix="0" xfId="0">
      <alignment horizontal="center" vertical="center" wrapText="1"/>
    </xf>
    <xf numFmtId="49" fontId="8" fillId="6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0" fontId="10" fillId="9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49" fontId="1" fillId="0" borderId="11" pivotButton="0" quotePrefix="0" xfId="0"/>
    <xf numFmtId="0" fontId="1" fillId="0" borderId="11" pivotButton="0" quotePrefix="0" xfId="0"/>
    <xf numFmtId="0" fontId="1" fillId="0" borderId="0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49" fontId="4" fillId="5" borderId="21" applyAlignment="1" pivotButton="0" quotePrefix="0" xfId="0">
      <alignment horizontal="left" vertical="center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49" fontId="11" fillId="4" borderId="22" applyAlignment="1" pivotButton="0" quotePrefix="0" xfId="0">
      <alignment horizontal="left" vertical="center" wrapText="1"/>
    </xf>
    <xf numFmtId="0" fontId="1" fillId="0" borderId="15" pivotButton="0" quotePrefix="0" xfId="0"/>
    <xf numFmtId="0" fontId="1" fillId="0" borderId="16" pivotButton="0" quotePrefix="0" xfId="0"/>
    <xf numFmtId="0" fontId="1" fillId="0" borderId="17" pivotButton="0" quotePrefix="0" xfId="0"/>
    <xf numFmtId="49" fontId="12" fillId="2" borderId="19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9" pivotButton="0" quotePrefix="0" xfId="0"/>
    <xf numFmtId="0" fontId="1" fillId="0" borderId="18" pivotButton="0" quotePrefix="0" xfId="0"/>
    <xf numFmtId="0" fontId="1" fillId="0" borderId="10" pivotButton="0" quotePrefix="0" xfId="0"/>
    <xf numFmtId="0" fontId="13" fillId="0" borderId="1" pivotButton="0" quotePrefix="0" xfId="0"/>
    <xf numFmtId="0" fontId="13" fillId="0" borderId="2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B5372E"/>
      <rgbColor rgb="FFAAAAAA"/>
      <rgbColor rgb="FF1F1F1F"/>
      <rgbColor rgb="FFF3F4F6"/>
      <rgbColor rgb="FFD1D5DB"/>
      <rgbColor rgb="FF1F2D3D"/>
      <rgbColor rgb="FFD9E7F5"/>
      <rgbColor rgb="FF1F7A1F"/>
      <rgbColor rgb="FFC6E0B4"/>
      <rgbColor rgb="FFF4F1DE"/>
      <rgbColor rgb="FF9C0006"/>
      <rgbColor rgb="FFF4CCCC"/>
      <rgbColor rgb="FFEA6B66"/>
      <rgbColor rgb="FF6B728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Amelie Lens</author>
  </authors>
  <commentList>
    <comment ref="Q9" authorId="0" shapeId="0">
      <text>
        <t>Template:
Derived metric per Appendix B.</t>
      </text>
    </comment>
    <comment ref="R9" authorId="0" shapeId="0">
      <text>
        <t>Template:
Residual Risk Score derived from Inherent Risk and Control Weakness.</t>
      </text>
    </comment>
    <comment ref="S9" authorId="0" shapeId="0">
      <text>
        <t>Template:
Transaction Materiality per Appendix B.</t>
      </text>
    </comment>
    <comment ref="T9" authorId="0" shapeId="0">
      <text>
        <t>Template:
Final Score = MAX(Residual Risk Score, Transaction Materiality).</t>
      </text>
    </comment>
    <comment ref="U9" authorId="0" shapeId="0">
      <text>
        <t>Template:
Grade mapping on rounded 1-decimal Final Score.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W10"/>
  <sheetViews>
    <sheetView showGridLines="0" workbookViewId="0">
      <selection activeCell="A1" sqref="A1:W1"/>
    </sheetView>
  </sheetViews>
  <sheetFormatPr baseColWidth="8" defaultColWidth="8.85546875" defaultRowHeight="15" customHeight="1"/>
  <cols>
    <col width="14" customWidth="1" style="18" min="1" max="1"/>
    <col width="30" customWidth="1" style="18" min="2" max="2"/>
    <col width="16" customWidth="1" style="18" min="3" max="3"/>
    <col width="34" customWidth="1" style="18" min="4" max="4"/>
    <col width="22" customWidth="1" style="18" min="5" max="5"/>
    <col width="38" customWidth="1" style="18" min="6" max="6"/>
    <col width="34" customWidth="1" style="18" min="7" max="7"/>
    <col width="18" customWidth="1" style="18" min="8" max="8"/>
    <col width="14" customWidth="1" style="18" min="9" max="9"/>
    <col width="10" customWidth="1" style="18" min="10" max="10"/>
    <col width="12" customWidth="1" style="18" min="11" max="12"/>
    <col width="13" customWidth="1" style="18" min="13" max="13"/>
    <col width="14" customWidth="1" style="18" min="14" max="14"/>
    <col width="13" customWidth="1" style="18" min="15" max="16"/>
    <col width="12" customWidth="1" style="18" min="17" max="18"/>
    <col width="16" customWidth="1" style="18" min="19" max="19"/>
    <col width="11" customWidth="1" style="18" min="20" max="20"/>
    <col width="8" customWidth="1" style="18" min="21" max="21"/>
    <col width="28" customWidth="1" style="18" min="22" max="23"/>
    <col width="8.85546875" customWidth="1" style="18" min="24" max="24"/>
    <col width="8.85546875" customWidth="1" style="18" min="25" max="16384"/>
  </cols>
  <sheetData>
    <row r="1" ht="24" customHeight="1">
      <c r="A1" s="32" t="inlineStr">
        <is>
          <t>Risk Register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5" t="n"/>
    </row>
    <row r="2" ht="20.1" customHeight="1">
      <c r="A2" s="2" t="inlineStr">
        <is>
          <t>Security findings register | scoring model: Residual Risk Score + Transaction Materiality</t>
        </is>
      </c>
      <c r="W2" s="46" t="n"/>
    </row>
    <row r="3" ht="18" customHeight="1">
      <c r="A3" s="3" t="inlineStr">
        <is>
          <t>Versione documento: 1.0 | finestra operativa YYYY-MM-DD / YYYY-MM-DD</t>
        </is>
      </c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8" t="n"/>
    </row>
    <row r="4" ht="13.5" customHeight="1">
      <c r="A4" s="4" t="inlineStr">
        <is>
          <t>Legenda</t>
        </is>
      </c>
      <c r="B4" s="49" t="n"/>
      <c r="C4" s="49" t="n"/>
      <c r="D4" s="49" t="n"/>
      <c r="E4" s="49" t="n"/>
      <c r="F4" s="49" t="n"/>
      <c r="G4" s="50" t="n"/>
      <c r="H4" s="4" t="inlineStr">
        <is>
          <t>Scoring model &amp; baseline</t>
        </is>
      </c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50" t="n"/>
    </row>
    <row r="5" ht="33.95" customHeight="1">
      <c r="A5" s="5" t="inlineStr">
        <is>
          <t>Finding</t>
        </is>
      </c>
      <c r="B5" s="6" t="inlineStr">
        <is>
          <t>Evidenza validata, specifica e tracciabile di vulnerabilità, weakness, control gap, issue architetturale, difetto logico, errata configurazione o non-conformità, riferibile a un asset, componente, flusso, processo o controllo determinato, supportata da evidenza sufficiente e verificabile, valutata secondo il modello di risk rating adottato e rilevante, in concreto, ai fini tecnici, operativi, regolatori o transazionali.</t>
        </is>
      </c>
      <c r="C5" s="49" t="n"/>
      <c r="D5" s="49" t="n"/>
      <c r="E5" s="49" t="n"/>
      <c r="F5" s="49" t="n"/>
      <c r="G5" s="50" t="n"/>
      <c r="H5" s="5" t="inlineStr">
        <is>
          <t>Baseline</t>
        </is>
      </c>
      <c r="I5" s="6" t="inlineStr">
        <is>
          <t>NIST CSF 2.0 | NIST SSDF | OWASP ASVS 5.0 | OWASP WSTG | CVSS v4.0 | MITRE CWE/CVE (aggiungere riferimenti specifici per la propria legislazione/orientamento compliance interno)</t>
        </is>
      </c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50" t="n"/>
    </row>
    <row r="6" ht="36" customHeight="1">
      <c r="A6" s="7" t="inlineStr">
        <is>
          <t>Risk</t>
        </is>
      </c>
      <c r="B6" s="6" t="inlineStr">
        <is>
          <t>Valutazione aritmetica della materialità: Inherent Risk, Residual Risk Score, Transaction Materiality e grade finale A–E.</t>
        </is>
      </c>
      <c r="C6" s="49" t="n"/>
      <c r="D6" s="49" t="n"/>
      <c r="E6" s="49" t="n"/>
      <c r="F6" s="49" t="n"/>
      <c r="G6" s="50" t="n"/>
      <c r="H6" s="5" t="inlineStr">
        <is>
          <t>Formula 1</t>
        </is>
      </c>
      <c r="I6" s="6" t="inlineStr">
        <is>
          <t>Inherent Risk = 0.35×Likelihood + 0.40×Technical Impact + 0.25×Business Impact</t>
        </is>
      </c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50" t="n"/>
    </row>
    <row r="7" ht="33.95" customHeight="1">
      <c r="A7" s="5" t="inlineStr">
        <is>
          <t>Validation</t>
        </is>
      </c>
      <c r="B7" s="6" t="inlineStr">
        <is>
          <t>Il Risk Register accoglie di regola soltanto Validated Findings; i falsi positivi non vengono iscritti come finding.</t>
        </is>
      </c>
      <c r="C7" s="49" t="n"/>
      <c r="D7" s="49" t="n"/>
      <c r="E7" s="49" t="n"/>
      <c r="F7" s="49" t="n"/>
      <c r="G7" s="50" t="n"/>
      <c r="H7" s="5" t="inlineStr">
        <is>
          <t>Formula 2</t>
        </is>
      </c>
      <c r="I7" s="6" t="inlineStr">
        <is>
          <t>Residual Risk Score = 0.70×Inherent Risk + 0.30×Control Weakness | Transaction Materiality = 0.50×Transaction Impact + 0.25×Compliance Exposure + 0.25×Remediation Effort</t>
        </is>
      </c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50" t="n"/>
    </row>
    <row r="8" ht="24" customHeight="1">
      <c r="A8" s="8" t="inlineStr">
        <is>
          <t>Finding register — solo record di esempio</t>
        </is>
      </c>
      <c r="B8" s="49" t="n"/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51" t="n"/>
    </row>
    <row r="9" ht="42" customHeight="1">
      <c r="A9" s="9" t="inlineStr">
        <is>
          <t>Finding ID</t>
        </is>
      </c>
      <c r="B9" s="9" t="inlineStr">
        <is>
          <t>Title</t>
        </is>
      </c>
      <c r="C9" s="9" t="inlineStr">
        <is>
          <t>Finding Type</t>
        </is>
      </c>
      <c r="D9" s="9" t="inlineStr">
        <is>
          <t>Affected Asset</t>
        </is>
      </c>
      <c r="E9" s="9" t="inlineStr">
        <is>
          <t>Taxonomy</t>
        </is>
      </c>
      <c r="F9" s="9" t="inlineStr">
        <is>
          <t>Description</t>
        </is>
      </c>
      <c r="G9" s="9" t="inlineStr">
        <is>
          <t>Evidence Reference / Evidence Summary</t>
        </is>
      </c>
      <c r="H9" s="9" t="inlineStr">
        <is>
          <t>Validation Status</t>
        </is>
      </c>
      <c r="I9" s="9" t="inlineStr">
        <is>
          <t>Evidence Confidence</t>
        </is>
      </c>
      <c r="J9" s="9" t="inlineStr">
        <is>
          <t>Likelihood</t>
        </is>
      </c>
      <c r="K9" s="9" t="inlineStr">
        <is>
          <t>Technical Impact</t>
        </is>
      </c>
      <c r="L9" s="9" t="inlineStr">
        <is>
          <t>Business Impact</t>
        </is>
      </c>
      <c r="M9" s="9" t="inlineStr">
        <is>
          <t>Control Weakness</t>
        </is>
      </c>
      <c r="N9" s="9" t="inlineStr">
        <is>
          <t>Compliance Exposure</t>
        </is>
      </c>
      <c r="O9" s="9" t="inlineStr">
        <is>
          <t>Remediation Effort</t>
        </is>
      </c>
      <c r="P9" s="9" t="inlineStr">
        <is>
          <t>Transaction Impact</t>
        </is>
      </c>
      <c r="Q9" s="9" t="inlineStr">
        <is>
          <t>Inherent Risk</t>
        </is>
      </c>
      <c r="R9" s="9" t="inlineStr">
        <is>
          <t>Residual Risk</t>
        </is>
      </c>
      <c r="S9" s="9" t="inlineStr">
        <is>
          <t>Transaction Materiality</t>
        </is>
      </c>
      <c r="T9" s="9" t="inlineStr">
        <is>
          <t>Final Score</t>
        </is>
      </c>
      <c r="U9" s="9" t="inlineStr">
        <is>
          <t>Grade</t>
        </is>
      </c>
      <c r="V9" s="9" t="inlineStr">
        <is>
          <t>Classification (Red Flag / Negotiation Relevant / Integration Item / Observation)</t>
        </is>
      </c>
      <c r="W9" s="9" t="inlineStr">
        <is>
          <t>Suggested Action</t>
        </is>
      </c>
    </row>
    <row r="10" ht="54" customHeight="1">
      <c r="A10" s="10" t="inlineStr">
        <is>
          <t>TMP-SEC-001</t>
        </is>
      </c>
      <c r="B10" s="10" t="inlineStr">
        <is>
          <t>Record illustrativo di vulnerabilità — solo esempio</t>
        </is>
      </c>
      <c r="C10" s="10" t="inlineStr">
        <is>
          <t>Vulnerability</t>
        </is>
      </c>
      <c r="D10" s="10" t="inlineStr">
        <is>
          <t>Application Component | ServiceName | src/Path/File.ext | Endpoint: /api/example/resource</t>
        </is>
      </c>
      <c r="E10" s="10" t="inlineStr">
        <is>
          <t>CWE-XXX | Standard / Framework Mapping</t>
        </is>
      </c>
      <c r="F10" s="10" t="inlineStr">
        <is>
          <t>Record illustrativo di esempio — sostituire con la descrizione del finding validato relativo alla valutazione effettiva.</t>
        </is>
      </c>
      <c r="G10" s="10" t="inlineStr">
        <is>
          <t>Record illustrativo di esempio — sostituire con il riferimento evidenza / riepilogo evidenza effettivo.</t>
        </is>
      </c>
      <c r="H10" s="11" t="inlineStr">
        <is>
          <t>Validated finding
(Example only)</t>
        </is>
      </c>
      <c r="I10" s="11" t="inlineStr">
        <is>
          <t>High</t>
        </is>
      </c>
      <c r="J10" s="12" t="n">
        <v>4</v>
      </c>
      <c r="K10" s="12" t="n">
        <v>5</v>
      </c>
      <c r="L10" s="12" t="n">
        <v>4</v>
      </c>
      <c r="M10" s="12" t="n">
        <v>4</v>
      </c>
      <c r="N10" s="12" t="n">
        <v>4</v>
      </c>
      <c r="O10" s="12" t="n">
        <v>2</v>
      </c>
      <c r="P10" s="12" t="n">
        <v>4</v>
      </c>
      <c r="Q10" s="13">
        <f t="array" ref="Q10">IF(COUNT(J10:L10)&lt;3,"",ROUND(J10*'Scoring Parameters'!$B$2+K10*'Scoring Parameters'!$B$3+L10*'Scoring Parameters'!$B$4,2))</f>
        <v/>
      </c>
      <c r="R10" s="13">
        <f t="array" ref="R10">IF(OR(Q10="",M10=""),"",ROUND(Q10*'Scoring Parameters'!$B$5+M10*'Scoring Parameters'!$B$6,2))</f>
        <v/>
      </c>
      <c r="S10" s="13">
        <f t="array" ref="S10">IF(COUNT(N10:P10)&lt;3,"",ROUND(P10*'Scoring Parameters'!$B$7+N10*'Scoring Parameters'!$B$8+O10*'Scoring Parameters'!$B$9,2))</f>
        <v/>
      </c>
      <c r="T10" s="14">
        <f t="array" ref="T10">IF(OR(R10="",S10=""),"",ROUND(MAX(R10,S10),2))</f>
        <v/>
      </c>
      <c r="U10" s="15">
        <f t="array" ref="U10">IF(T10="","",IF(ROUND(T10,1)&lt;=1.8,"A",IF(ROUND(T10,1)&lt;=2.6,"B",IF(ROUND(T10,1)&lt;=3.4,"C",IF(ROUND(T10,1)&lt;=4.2,"D","E")))))</f>
        <v/>
      </c>
      <c r="V10" s="10" t="inlineStr">
        <is>
          <t>Esempio illustrativo</t>
        </is>
      </c>
      <c r="W10" s="10" t="inlineStr">
        <is>
          <t>Sostituire con l'azione suggerita per il finding effettivo</t>
        </is>
      </c>
    </row>
  </sheetData>
  <mergeCells count="12">
    <mergeCell ref="I6:W6"/>
    <mergeCell ref="A1:W1"/>
    <mergeCell ref="I7:W7"/>
    <mergeCell ref="B5:G5"/>
    <mergeCell ref="A8:W8"/>
    <mergeCell ref="H4:W4"/>
    <mergeCell ref="A4:G4"/>
    <mergeCell ref="A3:W3"/>
    <mergeCell ref="I5:W5"/>
    <mergeCell ref="A2:W2"/>
    <mergeCell ref="B7:G7"/>
    <mergeCell ref="B6:G6"/>
  </mergeCells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4" sqref="A4"/>
    </sheetView>
  </sheetViews>
  <sheetFormatPr baseColWidth="8" defaultColWidth="8.85546875" defaultRowHeight="15" customHeight="1"/>
  <cols>
    <col width="28" customWidth="1" min="1" max="1"/>
    <col width="14" customWidth="1" min="2" max="2"/>
    <col width="8.85546875" customWidth="1" min="3" max="6"/>
  </cols>
  <sheetData>
    <row r="1" ht="13.5" customHeight="1">
      <c r="A1" s="16" t="inlineStr">
        <is>
          <t>Parameter</t>
        </is>
      </c>
      <c r="B1" s="16" t="inlineStr">
        <is>
          <t>Value</t>
        </is>
      </c>
      <c r="C1" s="1" t="n"/>
      <c r="D1" s="1" t="n"/>
      <c r="E1" s="1" t="n"/>
    </row>
    <row r="2" ht="13.5" customHeight="1">
      <c r="A2" s="16" t="inlineStr">
        <is>
          <t>Inherent_Likelihood_w</t>
        </is>
      </c>
      <c r="B2" s="17" t="n">
        <v>0.35</v>
      </c>
      <c r="C2" s="1" t="n"/>
      <c r="D2" s="1" t="n"/>
      <c r="E2" s="1" t="n"/>
    </row>
    <row r="3" ht="13.5" customHeight="1">
      <c r="A3" s="16" t="inlineStr">
        <is>
          <t>Inherent_Tech_w</t>
        </is>
      </c>
      <c r="B3" s="17" t="n">
        <v>0.4</v>
      </c>
      <c r="C3" s="1" t="n"/>
      <c r="D3" s="1" t="n"/>
      <c r="E3" s="1" t="n"/>
    </row>
    <row r="4" ht="13.5" customHeight="1">
      <c r="A4" s="16" t="inlineStr">
        <is>
          <t>Inherent_Business_w</t>
        </is>
      </c>
      <c r="B4" s="17" t="n">
        <v>0.25</v>
      </c>
      <c r="C4" s="1" t="n"/>
      <c r="D4" s="1" t="n"/>
      <c r="E4" s="1" t="n"/>
    </row>
    <row r="5" ht="13.5" customHeight="1">
      <c r="A5" s="16" t="inlineStr">
        <is>
          <t>Residual_Inherent_w</t>
        </is>
      </c>
      <c r="B5" s="17" t="n">
        <v>0.7</v>
      </c>
      <c r="C5" s="1" t="n"/>
      <c r="D5" s="1" t="n"/>
      <c r="E5" s="1" t="n"/>
    </row>
    <row r="6" ht="13.5" customHeight="1">
      <c r="A6" s="16" t="inlineStr">
        <is>
          <t>Residual_Control_w</t>
        </is>
      </c>
      <c r="B6" s="17" t="n">
        <v>0.3</v>
      </c>
      <c r="C6" s="1" t="n"/>
      <c r="D6" s="1" t="n"/>
      <c r="E6" s="1" t="n"/>
    </row>
    <row r="7" ht="13.5" customHeight="1">
      <c r="A7" s="16" t="inlineStr">
        <is>
          <t>Materiality_Transaction_w</t>
        </is>
      </c>
      <c r="B7" s="17" t="n">
        <v>0.5</v>
      </c>
      <c r="C7" s="1" t="n"/>
      <c r="D7" s="1" t="n"/>
      <c r="E7" s="1" t="n"/>
    </row>
    <row r="8" ht="13.5" customHeight="1">
      <c r="A8" s="16" t="inlineStr">
        <is>
          <t>Materiality_Compliance_w</t>
        </is>
      </c>
      <c r="B8" s="17" t="n">
        <v>0.25</v>
      </c>
      <c r="C8" s="1" t="n"/>
      <c r="D8" s="1" t="n"/>
      <c r="E8" s="1" t="n"/>
    </row>
    <row r="9" ht="13.5" customHeight="1">
      <c r="A9" s="16" t="inlineStr">
        <is>
          <t>Materiality_Remediation_w</t>
        </is>
      </c>
      <c r="B9" s="17" t="n">
        <v>0.25</v>
      </c>
      <c r="C9" s="1" t="n"/>
      <c r="D9" s="1" t="n"/>
      <c r="E9" s="1" t="n"/>
    </row>
    <row r="10" ht="13.5" customHeight="1">
      <c r="A10" s="1" t="n"/>
      <c r="B10" s="1" t="n"/>
      <c r="C10" s="1" t="n"/>
      <c r="D10" s="1" t="n"/>
      <c r="E10" s="1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M10"/>
  <sheetViews>
    <sheetView showGridLines="0" tabSelected="1" workbookViewId="0">
      <selection activeCell="A1" sqref="A1:M1"/>
    </sheetView>
  </sheetViews>
  <sheetFormatPr baseColWidth="8" defaultColWidth="8.85546875" defaultRowHeight="15" customHeight="1"/>
  <cols>
    <col width="14" customWidth="1" style="18" min="1" max="1"/>
    <col width="30" customWidth="1" style="18" min="2" max="2"/>
    <col width="34" customWidth="1" style="18" min="3" max="3"/>
    <col width="26" customWidth="1" style="18" min="4" max="4"/>
    <col width="18" customWidth="1" style="18" min="5" max="5"/>
    <col width="14" customWidth="1" style="18" min="6" max="6"/>
    <col width="12" customWidth="1" style="18" min="7" max="7"/>
    <col width="11" customWidth="1" style="18" min="8" max="8"/>
    <col width="8" customWidth="1" style="18" min="9" max="9"/>
    <col width="20" customWidth="1" style="18" min="10" max="10"/>
    <col width="36" customWidth="1" style="18" min="11" max="11"/>
    <col width="30" customWidth="1" style="18" min="12" max="12"/>
    <col width="28" customWidth="1" style="18" min="13" max="13"/>
    <col width="8.85546875" customWidth="1" style="18" min="14" max="14"/>
    <col width="8.85546875" customWidth="1" style="18" min="15" max="16384"/>
  </cols>
  <sheetData>
    <row r="1" ht="24" customHeight="1">
      <c r="A1" s="32" t="inlineStr">
        <is>
          <t>Executive Vulnerability Findings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</row>
    <row r="2" ht="20.1" customHeight="1">
      <c r="A2" s="2" t="inlineStr">
        <is>
          <t>Vista executive concentrata esclusivamente sui finding classificati come Vulnerability — l’eventuale record riportato sotto è solo un esempio illustrativo del template</t>
        </is>
      </c>
      <c r="M2" s="46" t="n"/>
    </row>
    <row r="3" ht="56.1" customHeight="1">
      <c r="A3" s="2" t="inlineStr">
        <is>
          <t>Nota metodologica: il presente foglio riporta esclusivamente i finding classificati come Vulnerability. Nella presente versione template, il finding eventualmente mostrato è solo un record illustrativo di esempio, inserito al solo scopo di mostrare la struttura attesa del registro executive e da sostituire integralmente con dati reali della valutazione.</t>
        </is>
      </c>
      <c r="M3" s="46" t="n"/>
    </row>
    <row r="4" ht="13.5" customHeight="1">
      <c r="A4" s="19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6" t="n"/>
    </row>
    <row r="5" ht="21.95" customHeight="1">
      <c r="A5" s="22" t="inlineStr">
        <is>
          <t>Executive view</t>
        </is>
      </c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8" t="n"/>
    </row>
    <row r="6" ht="38.1" customHeight="1">
      <c r="A6" s="9" t="inlineStr">
        <is>
          <t>Finding ID</t>
        </is>
      </c>
      <c r="B6" s="9" t="inlineStr">
        <is>
          <t>Title</t>
        </is>
      </c>
      <c r="C6" s="9" t="inlineStr">
        <is>
          <t>Affected Asset</t>
        </is>
      </c>
      <c r="D6" s="9" t="inlineStr">
        <is>
          <t>Taxonomy / Standard Mapping</t>
        </is>
      </c>
      <c r="E6" s="9" t="inlineStr">
        <is>
          <t>Validation Status</t>
        </is>
      </c>
      <c r="F6" s="9" t="inlineStr">
        <is>
          <t>Evidence Confidence</t>
        </is>
      </c>
      <c r="G6" s="9" t="inlineStr">
        <is>
          <t>Residual Risk</t>
        </is>
      </c>
      <c r="H6" s="9" t="inlineStr">
        <is>
          <t>Final Score</t>
        </is>
      </c>
      <c r="I6" s="9" t="inlineStr">
        <is>
          <t>Grade</t>
        </is>
      </c>
      <c r="J6" s="9" t="inlineStr">
        <is>
          <t>Classification</t>
        </is>
      </c>
      <c r="K6" s="9" t="inlineStr">
        <is>
          <t>Executive Description</t>
        </is>
      </c>
      <c r="L6" s="9" t="inlineStr">
        <is>
          <t>Key Evidence</t>
        </is>
      </c>
      <c r="M6" s="9" t="inlineStr">
        <is>
          <t>Suggested Action</t>
        </is>
      </c>
    </row>
    <row r="7" ht="54" customHeight="1">
      <c r="A7" s="23">
        <f t="array" ref="A7">'Risk Register'!A10</f>
        <v/>
      </c>
      <c r="B7" s="23">
        <f t="array" ref="B7">'Risk Register'!B10</f>
        <v/>
      </c>
      <c r="C7" s="23">
        <f t="array" ref="C7">'Risk Register'!D10</f>
        <v/>
      </c>
      <c r="D7" s="23">
        <f t="array" ref="D7">'Risk Register'!E10</f>
        <v/>
      </c>
      <c r="E7" s="24">
        <f t="array" ref="E7">'Risk Register'!H10</f>
        <v/>
      </c>
      <c r="F7" s="24">
        <f t="array" ref="F7">'Risk Register'!I10</f>
        <v/>
      </c>
      <c r="G7" s="13">
        <f t="array" ref="G7">'Risk Register'!R10</f>
        <v/>
      </c>
      <c r="H7" s="14">
        <f t="array" ref="H7">'Risk Register'!T10</f>
        <v/>
      </c>
      <c r="I7" s="15">
        <f t="array" ref="I7">'Risk Register'!U10</f>
        <v/>
      </c>
      <c r="J7" s="23">
        <f t="array" ref="J7">'Risk Register'!V10</f>
        <v/>
      </c>
      <c r="K7" s="23">
        <f t="array" ref="K7">'Risk Register'!F10</f>
        <v/>
      </c>
      <c r="L7" s="23">
        <f t="array" ref="L7">'Risk Register'!G10</f>
        <v/>
      </c>
      <c r="M7" s="23">
        <f t="array" ref="M7">'Risk Register'!W10</f>
        <v/>
      </c>
    </row>
    <row r="8" ht="13.5" customHeight="1">
      <c r="A8" s="25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7" t="n"/>
    </row>
    <row r="9" ht="12" customHeight="1">
      <c r="A9" s="28" t="inlineStr">
        <is>
          <t>Uso interno — confidenziale | template riutilizzabile</t>
        </is>
      </c>
      <c r="M9" s="46" t="n"/>
    </row>
    <row r="10" ht="13.5" customHeight="1">
      <c r="A10" s="29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1" t="n"/>
    </row>
  </sheetData>
  <mergeCells count="5">
    <mergeCell ref="A1:M1"/>
    <mergeCell ref="A5:M5"/>
    <mergeCell ref="A9:M9"/>
    <mergeCell ref="A3:M3"/>
    <mergeCell ref="A2:M2"/>
  </mergeCells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Amelie Lens</dc:creator>
  <dcterms:created xsi:type="dcterms:W3CDTF">2097-12-31T00:00:00Z</dcterms:created>
  <dcterms:modified xsi:type="dcterms:W3CDTF">2097-12-31T00:00:00Z</dcterms:modified>
  <cp:lastModifiedBy>Amelie Lens</cp:lastModifiedBy>
</cp:coreProperties>
</file>