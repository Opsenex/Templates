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Risk Register" sheetId="1" state="visible" r:id="rId1"/>
    <sheet xmlns:r="http://schemas.openxmlformats.org/officeDocument/2006/relationships" name="Scoring Parameters" sheetId="2" state="visible" r:id="rId2"/>
    <sheet xmlns:r="http://schemas.openxmlformats.org/officeDocument/2006/relationships" name="Executive Vulnerabilities" sheetId="3" state="visible" r:id="rId3"/>
  </sheets>
  <definedNames/>
  <calcPr calcId="191028" fullCalcOnLoad="1"/>
</workbook>
</file>

<file path=xl/styles.xml><?xml version="1.0" encoding="utf-8"?>
<styleSheet xmlns="http://schemas.openxmlformats.org/spreadsheetml/2006/main">
  <numFmts count="0"/>
  <fonts count="13">
    <font>
      <name val="Calibri"/>
      <color indexed="8"/>
      <sz val="11"/>
    </font>
    <font>
      <name val="Aptos"/>
      <color indexed="8"/>
      <sz val="11"/>
    </font>
    <font>
      <name val="Aptos"/>
      <color indexed="15"/>
      <sz val="9"/>
    </font>
    <font>
      <name val="Aptos"/>
      <i val="1"/>
      <color indexed="13"/>
      <sz val="9"/>
    </font>
    <font>
      <name val="Aptos"/>
      <b val="1"/>
      <color indexed="12"/>
      <sz val="11"/>
    </font>
    <font>
      <name val="Aptos"/>
      <b val="1"/>
      <color indexed="13"/>
      <sz val="10"/>
    </font>
    <font>
      <name val="Aptos"/>
      <b val="1"/>
      <color rgb="FFBF3131"/>
      <sz val="11"/>
    </font>
    <font>
      <name val="Aptos"/>
      <b val="1"/>
      <color indexed="12"/>
      <sz val="10"/>
    </font>
    <font>
      <name val="Aptos"/>
      <color indexed="15"/>
      <sz val="10"/>
    </font>
    <font>
      <name val="Aptos"/>
      <b val="1"/>
      <color indexed="20"/>
      <sz val="10"/>
    </font>
    <font>
      <name val="Aptos"/>
      <b val="1"/>
      <color indexed="23"/>
      <sz val="10"/>
    </font>
    <font>
      <name val="Aptos"/>
      <i val="1"/>
      <color indexed="26"/>
      <sz val="9"/>
    </font>
    <font>
      <name val="Avenir Next LT Pro"/>
      <b val="1"/>
      <color rgb="FFFFFFFF"/>
      <sz val="18"/>
    </font>
  </fonts>
  <fills count="12">
    <fill>
      <patternFill/>
    </fill>
    <fill>
      <patternFill patternType="gray125"/>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
      <patternFill patternType="solid">
        <fgColor indexed="24"/>
        <bgColor auto="1"/>
      </patternFill>
    </fill>
    <fill>
      <patternFill patternType="solid">
        <fgColor indexed="25"/>
        <bgColor auto="1"/>
      </patternFill>
    </fill>
    <fill>
      <patternFill patternType="solid">
        <fgColor rgb="FFEAD196"/>
        <bgColor rgb="FF000000"/>
      </patternFill>
    </fill>
  </fills>
  <borders count="25">
    <border>
      <left/>
      <right/>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right/>
      <top/>
      <bottom style="thin">
        <color indexed="17"/>
      </bottom>
      <diagonal/>
    </border>
    <border>
      <left/>
      <right style="thin">
        <color indexed="14"/>
      </right>
      <top/>
      <bottom style="thin">
        <color indexed="17"/>
      </bottom>
      <diagonal/>
    </border>
    <border>
      <left style="thin">
        <color indexed="17"/>
      </left>
      <right style="thin">
        <color indexed="17"/>
      </right>
      <top style="thin">
        <color indexed="17"/>
      </top>
      <bottom style="thin">
        <color indexed="17"/>
      </bottom>
      <diagonal/>
    </border>
    <border>
      <left/>
      <right/>
      <top style="thin">
        <color indexed="17"/>
      </top>
      <bottom style="thin">
        <color indexed="17"/>
      </bottom>
      <diagonal/>
    </border>
    <border>
      <left/>
      <right style="thin">
        <color indexed="14"/>
      </right>
      <top style="thin">
        <color indexed="17"/>
      </top>
      <bottom style="thin">
        <color indexed="17"/>
      </bottom>
      <diagonal/>
    </border>
    <border>
      <left style="thin">
        <color indexed="14"/>
      </left>
      <right style="thin">
        <color indexed="14"/>
      </right>
      <top style="thin">
        <color indexed="14"/>
      </top>
      <bottom style="thin">
        <color indexed="14"/>
      </bottom>
      <diagonal/>
    </border>
    <border>
      <left style="thin">
        <color indexed="14"/>
      </left>
      <right/>
      <top style="thin">
        <color indexed="17"/>
      </top>
      <bottom/>
      <diagonal/>
    </border>
    <border>
      <left/>
      <right/>
      <top style="thin">
        <color indexed="17"/>
      </top>
      <bottom/>
      <diagonal/>
    </border>
    <border>
      <left/>
      <right style="thin">
        <color indexed="14"/>
      </right>
      <top style="thin">
        <color indexed="17"/>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right style="thin">
        <color indexed="17"/>
      </right>
      <top style="thin">
        <color indexed="17"/>
      </top>
      <bottom style="thin">
        <color indexed="17"/>
      </bottom>
      <diagonal/>
    </border>
    <border>
      <left style="thin">
        <color indexed="14"/>
      </left>
      <right style="thin">
        <color indexed="14"/>
      </right>
      <top style="thin">
        <color indexed="14"/>
      </top>
      <bottom/>
      <diagonal/>
    </border>
    <border>
      <left style="thin">
        <color indexed="14"/>
      </left>
      <right style="thin">
        <color indexed="14"/>
      </right>
      <top style="thin">
        <color indexed="17"/>
      </top>
      <bottom style="thin">
        <color indexed="17"/>
      </bottom>
      <diagonal/>
    </border>
    <border>
      <left style="thin">
        <color indexed="14"/>
      </left>
      <right style="thin">
        <color indexed="14"/>
      </right>
      <top/>
      <bottom style="thin">
        <color indexed="17"/>
      </bottom>
      <diagonal/>
    </border>
    <border>
      <left style="thin">
        <color indexed="14"/>
      </left>
      <right style="thin">
        <color indexed="14"/>
      </right>
      <top/>
      <bottom/>
      <diagonal/>
    </border>
    <border>
      <left style="thin">
        <color rgb="FFAAAAAA"/>
      </left>
      <right/>
      <top style="thin">
        <color rgb="FFD5DCE5"/>
      </top>
      <bottom style="thin">
        <color rgb="FFD5DCE5"/>
      </bottom>
      <diagonal/>
    </border>
    <border>
      <left/>
      <right style="thin">
        <color indexed="17"/>
      </right>
      <top style="thin">
        <color indexed="17"/>
      </top>
      <bottom/>
      <diagonal/>
    </border>
  </borders>
  <cellStyleXfs count="1">
    <xf numFmtId="0" fontId="0" fillId="0" borderId="4"/>
  </cellStyleXfs>
  <cellXfs count="42">
    <xf numFmtId="0" fontId="0" fillId="0" borderId="0" pivotButton="0" quotePrefix="0" xfId="0"/>
    <xf numFmtId="0" fontId="0" fillId="0" borderId="11" pivotButton="0" quotePrefix="0" xfId="0"/>
    <xf numFmtId="49" fontId="5" fillId="3" borderId="8" applyAlignment="1" pivotButton="0" quotePrefix="0" xfId="0">
      <alignment horizontal="left" vertical="center" wrapText="1"/>
    </xf>
    <xf numFmtId="0" fontId="6" fillId="11" borderId="23" pivotButton="0" quotePrefix="0" xfId="0"/>
    <xf numFmtId="49" fontId="7" fillId="5" borderId="8" applyAlignment="1" pivotButton="0" quotePrefix="0" xfId="0">
      <alignment horizontal="center" vertical="center" wrapText="1"/>
    </xf>
    <xf numFmtId="49" fontId="8" fillId="6" borderId="8" applyAlignment="1" pivotButton="0" quotePrefix="0" xfId="0">
      <alignment horizontal="left" vertical="center" wrapText="1"/>
    </xf>
    <xf numFmtId="49" fontId="9" fillId="7" borderId="8" applyAlignment="1" pivotButton="0" quotePrefix="0" xfId="0">
      <alignment horizontal="left" vertical="center" wrapText="1"/>
    </xf>
    <xf numFmtId="0" fontId="8" fillId="6" borderId="8" applyAlignment="1" pivotButton="0" quotePrefix="0" xfId="0">
      <alignment horizontal="center" vertical="center" wrapText="1"/>
    </xf>
    <xf numFmtId="0" fontId="8" fillId="8" borderId="8" applyAlignment="1" pivotButton="0" quotePrefix="0" xfId="0">
      <alignment horizontal="center" vertical="center" wrapText="1"/>
    </xf>
    <xf numFmtId="0" fontId="10" fillId="9" borderId="8" applyAlignment="1" pivotButton="0" quotePrefix="0" xfId="0">
      <alignment horizontal="center" vertical="center" wrapText="1"/>
    </xf>
    <xf numFmtId="0" fontId="7" fillId="10" borderId="8" applyAlignment="1" pivotButton="0" quotePrefix="0" xfId="0">
      <alignment horizontal="center" vertical="center" wrapText="1"/>
    </xf>
    <xf numFmtId="49" fontId="1" fillId="0" borderId="11" pivotButton="0" quotePrefix="0" xfId="0"/>
    <xf numFmtId="0" fontId="1" fillId="0" borderId="11" pivotButton="0" quotePrefix="0" xfId="0"/>
    <xf numFmtId="0" fontId="1" fillId="0" borderId="0" pivotButton="0" quotePrefix="0" xfId="0"/>
    <xf numFmtId="0" fontId="1" fillId="0" borderId="3" pivotButton="0" quotePrefix="0" xfId="0"/>
    <xf numFmtId="0" fontId="1" fillId="0" borderId="4" pivotButton="0" quotePrefix="0" xfId="0"/>
    <xf numFmtId="0" fontId="1" fillId="0" borderId="5" pivotButton="0" quotePrefix="0" xfId="0"/>
    <xf numFmtId="0" fontId="8" fillId="6" borderId="8" applyAlignment="1" pivotButton="0" quotePrefix="0" xfId="0">
      <alignment horizontal="left" vertical="center" wrapText="1"/>
    </xf>
    <xf numFmtId="0" fontId="9" fillId="7" borderId="8" applyAlignment="1" pivotButton="0" quotePrefix="0" xfId="0">
      <alignment horizontal="left" vertical="center" wrapText="1"/>
    </xf>
    <xf numFmtId="0" fontId="1" fillId="0" borderId="12" pivotButton="0" quotePrefix="0" xfId="0"/>
    <xf numFmtId="0" fontId="1" fillId="0" borderId="13" pivotButton="0" quotePrefix="0" xfId="0"/>
    <xf numFmtId="0" fontId="1" fillId="0" borderId="14" pivotButton="0" quotePrefix="0" xfId="0"/>
    <xf numFmtId="0" fontId="1" fillId="0" borderId="15" pivotButton="0" quotePrefix="0" xfId="0"/>
    <xf numFmtId="0" fontId="1" fillId="0" borderId="16" pivotButton="0" quotePrefix="0" xfId="0"/>
    <xf numFmtId="0" fontId="1" fillId="0" borderId="17" pivotButton="0" quotePrefix="0" xfId="0"/>
    <xf numFmtId="49" fontId="2" fillId="3" borderId="8" applyAlignment="1" pivotButton="0" quotePrefix="0" xfId="0">
      <alignment horizontal="left" vertical="center" wrapText="1"/>
    </xf>
    <xf numFmtId="49" fontId="12" fillId="2" borderId="19" applyAlignment="1" pivotButton="0" quotePrefix="0" xfId="0">
      <alignment horizontal="left" vertical="center"/>
    </xf>
    <xf numFmtId="49" fontId="4" fillId="5" borderId="20" applyAlignment="1" pivotButton="0" quotePrefix="0" xfId="0">
      <alignment horizontal="left" vertical="center"/>
    </xf>
    <xf numFmtId="49" fontId="4" fillId="5" borderId="8" applyAlignment="1" pivotButton="0" quotePrefix="0" xfId="0">
      <alignment horizontal="center" vertical="center" wrapText="1"/>
    </xf>
    <xf numFmtId="49" fontId="3" fillId="4" borderId="21" applyAlignment="1" pivotButton="0" quotePrefix="0" xfId="0">
      <alignment horizontal="left" vertical="center" wrapText="1"/>
    </xf>
    <xf numFmtId="49" fontId="2" fillId="3" borderId="22" applyAlignment="1" pivotButton="0" quotePrefix="0" xfId="0">
      <alignment horizontal="left" vertical="center" wrapText="1"/>
    </xf>
    <xf numFmtId="49" fontId="4" fillId="5" borderId="21" applyAlignment="1" pivotButton="0" quotePrefix="0" xfId="0">
      <alignment horizontal="left" vertical="center"/>
    </xf>
    <xf numFmtId="49" fontId="11" fillId="4" borderId="22" applyAlignment="1" pivotButton="0" quotePrefix="0" xfId="0">
      <alignment horizontal="left" vertical="center" wrapText="1"/>
    </xf>
    <xf numFmtId="0" fontId="0" fillId="0" borderId="1" pivotButton="0" quotePrefix="0" xfId="0"/>
    <xf numFmtId="0" fontId="0" fillId="0" borderId="2" pivotButton="0" quotePrefix="0" xfId="0"/>
    <xf numFmtId="0" fontId="1"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9" pivotButton="0" quotePrefix="0" xfId="0"/>
    <xf numFmtId="0" fontId="0" fillId="0" borderId="18" pivotButton="0" quotePrefix="0" xfId="0"/>
    <xf numFmtId="0" fontId="0" fillId="0" borderId="10" pivotButton="0" quotePrefix="0" xfId="0"/>
  </cellXfs>
  <cellStyles count="1">
    <cellStyle name="Normale"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B5372E"/>
      <rgbColor rgb="FFAAAAAA"/>
      <rgbColor rgb="FF1F1F1F"/>
      <rgbColor rgb="FFF3F4F6"/>
      <rgbColor rgb="FFD1D5DB"/>
      <rgbColor rgb="FF1F2D3D"/>
      <rgbColor rgb="FFD9E7F5"/>
      <rgbColor rgb="FF1F7A1F"/>
      <rgbColor rgb="FFC6E0B4"/>
      <rgbColor rgb="FFF4F1DE"/>
      <rgbColor rgb="FF9C0006"/>
      <rgbColor rgb="FFF4CCCC"/>
      <rgbColor rgb="FFEA6B66"/>
      <rgbColor rgb="FF6B7280"/>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Amelie Lens</author>
  </authors>
  <commentList>
    <comment ref="Q9" authorId="0" shapeId="0">
      <text>
        <t>Template:
Derived metric per Appendix B.</t>
      </text>
    </comment>
    <comment ref="R9" authorId="0" shapeId="0">
      <text>
        <t>Template:
Residual Risk Score derived from Inherent Risk and Control Weakness.</t>
      </text>
    </comment>
    <comment ref="S9" authorId="0" shapeId="0">
      <text>
        <t>Template:
Transaction Materiality per Appendix B.</t>
      </text>
    </comment>
    <comment ref="T9" authorId="0" shapeId="0">
      <text>
        <t>Template:
Final Score = MAX(Residual Risk Score, Transaction Materiality).</t>
      </text>
    </comment>
    <comment ref="U9" authorId="0" shapeId="0">
      <text>
        <t>Template:
Grade mapping on rounded 1-decimal Final Score.</t>
      </text>
    </comment>
  </commentList>
</comment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C00000"/>
    <outlinePr summaryBelow="1" summaryRight="1"/>
    <pageSetUpPr/>
  </sheetPr>
  <dimension ref="A1:W10"/>
  <sheetViews>
    <sheetView showGridLines="0" tabSelected="1" workbookViewId="0">
      <selection activeCell="A1" sqref="A1:W1"/>
    </sheetView>
  </sheetViews>
  <sheetFormatPr baseColWidth="8" defaultColWidth="8.85546875" defaultRowHeight="15" customHeight="1"/>
  <cols>
    <col width="14" customWidth="1" style="13" min="1" max="1"/>
    <col width="30" customWidth="1" style="13" min="2" max="2"/>
    <col width="16" customWidth="1" style="13" min="3" max="3"/>
    <col width="34" customWidth="1" style="13" min="4" max="4"/>
    <col width="22" customWidth="1" style="13" min="5" max="5"/>
    <col width="38" customWidth="1" style="13" min="6" max="6"/>
    <col width="34" customWidth="1" style="13" min="7" max="7"/>
    <col width="18" customWidth="1" style="13" min="8" max="8"/>
    <col width="14" customWidth="1" style="13" min="9" max="9"/>
    <col width="10" customWidth="1" style="13" min="10" max="10"/>
    <col width="12" customWidth="1" style="13" min="11" max="12"/>
    <col width="13" customWidth="1" style="13" min="13" max="13"/>
    <col width="14" customWidth="1" style="13" min="14" max="14"/>
    <col width="13" customWidth="1" style="13" min="15" max="16"/>
    <col width="12" customWidth="1" style="13" min="17" max="18"/>
    <col width="16" customWidth="1" style="13" min="19" max="19"/>
    <col width="11" customWidth="1" style="13" min="20" max="20"/>
    <col width="8" customWidth="1" style="13" min="21" max="21"/>
    <col width="28" customWidth="1" style="13" min="22" max="23"/>
    <col width="8.85546875" customWidth="1" style="13" min="24" max="25"/>
    <col width="8.85546875" customWidth="1" style="13" min="26" max="16384"/>
  </cols>
  <sheetData>
    <row r="1" ht="24" customHeight="1">
      <c r="A1" s="26" t="inlineStr">
        <is>
          <t>Risk Register</t>
        </is>
      </c>
      <c r="B1" s="33" t="n"/>
      <c r="C1" s="33" t="n"/>
      <c r="D1" s="33" t="n"/>
      <c r="E1" s="33" t="n"/>
      <c r="F1" s="33" t="n"/>
      <c r="G1" s="33" t="n"/>
      <c r="H1" s="33" t="n"/>
      <c r="I1" s="33" t="n"/>
      <c r="J1" s="33" t="n"/>
      <c r="K1" s="33" t="n"/>
      <c r="L1" s="33" t="n"/>
      <c r="M1" s="33" t="n"/>
      <c r="N1" s="33" t="n"/>
      <c r="O1" s="33" t="n"/>
      <c r="P1" s="33" t="n"/>
      <c r="Q1" s="33" t="n"/>
      <c r="R1" s="33" t="n"/>
      <c r="S1" s="33" t="n"/>
      <c r="T1" s="33" t="n"/>
      <c r="U1" s="33" t="n"/>
      <c r="V1" s="33" t="n"/>
      <c r="W1" s="34" t="n"/>
    </row>
    <row r="2" ht="20.1" customHeight="1">
      <c r="A2" s="30" t="inlineStr">
        <is>
          <t>Security findings register | scoring model: Residual Risk Score + Transaction Materiality</t>
        </is>
      </c>
      <c r="W2" s="36" t="n"/>
    </row>
    <row r="3" ht="18" customHeight="1">
      <c r="A3" s="29" t="inlineStr">
        <is>
          <t>Document version: 1.0 | operating window YYYY-MM-DD / YYYY-MM-DD</t>
        </is>
      </c>
      <c r="B3" s="37" t="n"/>
      <c r="C3" s="37" t="n"/>
      <c r="D3" s="37" t="n"/>
      <c r="E3" s="37" t="n"/>
      <c r="F3" s="37" t="n"/>
      <c r="G3" s="37" t="n"/>
      <c r="H3" s="37" t="n"/>
      <c r="I3" s="37" t="n"/>
      <c r="J3" s="37" t="n"/>
      <c r="K3" s="37" t="n"/>
      <c r="L3" s="37" t="n"/>
      <c r="M3" s="37" t="n"/>
      <c r="N3" s="37" t="n"/>
      <c r="O3" s="37" t="n"/>
      <c r="P3" s="37" t="n"/>
      <c r="Q3" s="37" t="n"/>
      <c r="R3" s="37" t="n"/>
      <c r="S3" s="37" t="n"/>
      <c r="T3" s="37" t="n"/>
      <c r="U3" s="37" t="n"/>
      <c r="V3" s="37" t="n"/>
      <c r="W3" s="38" t="n"/>
    </row>
    <row r="4" ht="13.5" customHeight="1">
      <c r="A4" s="28" t="inlineStr">
        <is>
          <t>Legend</t>
        </is>
      </c>
      <c r="B4" s="39" t="n"/>
      <c r="C4" s="39" t="n"/>
      <c r="D4" s="39" t="n"/>
      <c r="E4" s="39" t="n"/>
      <c r="F4" s="39" t="n"/>
      <c r="G4" s="40" t="n"/>
      <c r="H4" s="28" t="inlineStr">
        <is>
          <t>Scoring model &amp; baseline</t>
        </is>
      </c>
      <c r="I4" s="39" t="n"/>
      <c r="J4" s="39" t="n"/>
      <c r="K4" s="39" t="n"/>
      <c r="L4" s="39" t="n"/>
      <c r="M4" s="39" t="n"/>
      <c r="N4" s="39" t="n"/>
      <c r="O4" s="39" t="n"/>
      <c r="P4" s="39" t="n"/>
      <c r="Q4" s="39" t="n"/>
      <c r="R4" s="39" t="n"/>
      <c r="S4" s="39" t="n"/>
      <c r="T4" s="39" t="n"/>
      <c r="U4" s="39" t="n"/>
      <c r="V4" s="39" t="n"/>
      <c r="W4" s="40" t="n"/>
    </row>
    <row r="5" ht="33.95" customHeight="1">
      <c r="A5" s="2" t="inlineStr">
        <is>
          <t>Finding</t>
        </is>
      </c>
      <c r="B5" s="25" t="inlineStr">
        <is>
          <t>Validated, specific and traceable evidence of a vulnerability, weakness, control gap, architectural issue, logical defect, misconfiguration or non-compliance, attributable to a specific asset, component, flow, process or control, supported by sufficient and verifiable evidence, evaluated according to the adopted risk-rating model and concretely relevant for technical, operational, regulatory or transactional purposes.</t>
        </is>
      </c>
      <c r="C5" s="39" t="n"/>
      <c r="D5" s="39" t="n"/>
      <c r="E5" s="39" t="n"/>
      <c r="F5" s="39" t="n"/>
      <c r="G5" s="40" t="n"/>
      <c r="H5" s="2" t="inlineStr">
        <is>
          <t>Baseline</t>
        </is>
      </c>
      <c r="I5" s="25" t="inlineStr">
        <is>
          <t>NIST CSF 2.0 | NIST SSDF | OWASP ASVS 5.0 | OWASP WSTG | CVSS v4.0 | MITRE CWE/CVE (add specific references for your own legislation/internal compliance guidance)</t>
        </is>
      </c>
      <c r="J5" s="39" t="n"/>
      <c r="K5" s="39" t="n"/>
      <c r="L5" s="39" t="n"/>
      <c r="M5" s="39" t="n"/>
      <c r="N5" s="39" t="n"/>
      <c r="O5" s="39" t="n"/>
      <c r="P5" s="39" t="n"/>
      <c r="Q5" s="39" t="n"/>
      <c r="R5" s="39" t="n"/>
      <c r="S5" s="39" t="n"/>
      <c r="T5" s="39" t="n"/>
      <c r="U5" s="39" t="n"/>
      <c r="V5" s="39" t="n"/>
      <c r="W5" s="40" t="n"/>
    </row>
    <row r="6" ht="36" customHeight="1">
      <c r="A6" s="3" t="inlineStr">
        <is>
          <t>Risk</t>
        </is>
      </c>
      <c r="B6" s="25" t="inlineStr">
        <is>
          <t>Arithmetic assessment of materiality: Inherent Risk, Residual Risk Score, Transaction Materiality and final grade A–E.</t>
        </is>
      </c>
      <c r="C6" s="39" t="n"/>
      <c r="D6" s="39" t="n"/>
      <c r="E6" s="39" t="n"/>
      <c r="F6" s="39" t="n"/>
      <c r="G6" s="40" t="n"/>
      <c r="H6" s="2" t="inlineStr">
        <is>
          <t>Formula 1</t>
        </is>
      </c>
      <c r="I6" s="25" t="inlineStr">
        <is>
          <t>Inherent Risk = 0.35×Likelihood + 0.40×Technical Impact + 0.25×Business Impact</t>
        </is>
      </c>
      <c r="J6" s="39" t="n"/>
      <c r="K6" s="39" t="n"/>
      <c r="L6" s="39" t="n"/>
      <c r="M6" s="39" t="n"/>
      <c r="N6" s="39" t="n"/>
      <c r="O6" s="39" t="n"/>
      <c r="P6" s="39" t="n"/>
      <c r="Q6" s="39" t="n"/>
      <c r="R6" s="39" t="n"/>
      <c r="S6" s="39" t="n"/>
      <c r="T6" s="39" t="n"/>
      <c r="U6" s="39" t="n"/>
      <c r="V6" s="39" t="n"/>
      <c r="W6" s="40" t="n"/>
    </row>
    <row r="7" ht="33.95" customHeight="1">
      <c r="A7" s="2" t="inlineStr">
        <is>
          <t>Validation</t>
        </is>
      </c>
      <c r="B7" s="25" t="inlineStr">
        <is>
          <t>As a rule, the Risk Register includes only Validated Findings; false positives are not recorded as findings.</t>
        </is>
      </c>
      <c r="C7" s="39" t="n"/>
      <c r="D7" s="39" t="n"/>
      <c r="E7" s="39" t="n"/>
      <c r="F7" s="39" t="n"/>
      <c r="G7" s="40" t="n"/>
      <c r="H7" s="2" t="inlineStr">
        <is>
          <t>Formula 2</t>
        </is>
      </c>
      <c r="I7" s="25" t="inlineStr">
        <is>
          <t>Residual Risk Score = 0.70×Inherent Risk + 0.30×Control Weakness | Transaction Materiality = 0.50×Transaction Impact + 0.25×Compliance Exposure + 0.25×Remediation Effort</t>
        </is>
      </c>
      <c r="J7" s="39" t="n"/>
      <c r="K7" s="39" t="n"/>
      <c r="L7" s="39" t="n"/>
      <c r="M7" s="39" t="n"/>
      <c r="N7" s="39" t="n"/>
      <c r="O7" s="39" t="n"/>
      <c r="P7" s="39" t="n"/>
      <c r="Q7" s="39" t="n"/>
      <c r="R7" s="39" t="n"/>
      <c r="S7" s="39" t="n"/>
      <c r="T7" s="39" t="n"/>
      <c r="U7" s="39" t="n"/>
      <c r="V7" s="39" t="n"/>
      <c r="W7" s="40" t="n"/>
    </row>
    <row r="8" ht="24" customHeight="1">
      <c r="A8" s="27" t="inlineStr">
        <is>
          <t>Finding register — example record only</t>
        </is>
      </c>
      <c r="B8" s="39" t="n"/>
      <c r="C8" s="39" t="n"/>
      <c r="D8" s="39" t="n"/>
      <c r="E8" s="39" t="n"/>
      <c r="F8" s="39" t="n"/>
      <c r="G8" s="39" t="n"/>
      <c r="H8" s="39" t="n"/>
      <c r="I8" s="39" t="n"/>
      <c r="J8" s="39" t="n"/>
      <c r="K8" s="39" t="n"/>
      <c r="L8" s="39" t="n"/>
      <c r="M8" s="39" t="n"/>
      <c r="N8" s="39" t="n"/>
      <c r="O8" s="39" t="n"/>
      <c r="P8" s="39" t="n"/>
      <c r="Q8" s="39" t="n"/>
      <c r="R8" s="39" t="n"/>
      <c r="S8" s="39" t="n"/>
      <c r="T8" s="39" t="n"/>
      <c r="U8" s="39" t="n"/>
      <c r="V8" s="39" t="n"/>
      <c r="W8" s="41" t="n"/>
    </row>
    <row r="9" ht="42" customHeight="1">
      <c r="A9" s="4" t="inlineStr">
        <is>
          <t>Finding ID</t>
        </is>
      </c>
      <c r="B9" s="4" t="inlineStr">
        <is>
          <t>Title</t>
        </is>
      </c>
      <c r="C9" s="4" t="inlineStr">
        <is>
          <t>Finding Type</t>
        </is>
      </c>
      <c r="D9" s="4" t="inlineStr">
        <is>
          <t>Affected Asset</t>
        </is>
      </c>
      <c r="E9" s="4" t="inlineStr">
        <is>
          <t>Taxonomy</t>
        </is>
      </c>
      <c r="F9" s="4" t="inlineStr">
        <is>
          <t>Description</t>
        </is>
      </c>
      <c r="G9" s="4" t="inlineStr">
        <is>
          <t>Evidence Reference / Evidence Summary</t>
        </is>
      </c>
      <c r="H9" s="4" t="inlineStr">
        <is>
          <t>Validation Status</t>
        </is>
      </c>
      <c r="I9" s="4" t="inlineStr">
        <is>
          <t>Evidence Confidence</t>
        </is>
      </c>
      <c r="J9" s="4" t="inlineStr">
        <is>
          <t>Likelihood</t>
        </is>
      </c>
      <c r="K9" s="4" t="inlineStr">
        <is>
          <t>Technical Impact</t>
        </is>
      </c>
      <c r="L9" s="4" t="inlineStr">
        <is>
          <t>Business Impact</t>
        </is>
      </c>
      <c r="M9" s="4" t="inlineStr">
        <is>
          <t>Control Weakness</t>
        </is>
      </c>
      <c r="N9" s="4" t="inlineStr">
        <is>
          <t>Compliance Exposure</t>
        </is>
      </c>
      <c r="O9" s="4" t="inlineStr">
        <is>
          <t>Remediation Effort</t>
        </is>
      </c>
      <c r="P9" s="4" t="inlineStr">
        <is>
          <t>Transaction Impact</t>
        </is>
      </c>
      <c r="Q9" s="4" t="inlineStr">
        <is>
          <t>Inherent Risk</t>
        </is>
      </c>
      <c r="R9" s="4" t="inlineStr">
        <is>
          <t>Residual Risk</t>
        </is>
      </c>
      <c r="S9" s="4" t="inlineStr">
        <is>
          <t>Transaction Materiality</t>
        </is>
      </c>
      <c r="T9" s="4" t="inlineStr">
        <is>
          <t>Final Score</t>
        </is>
      </c>
      <c r="U9" s="4" t="inlineStr">
        <is>
          <t>Grade</t>
        </is>
      </c>
      <c r="V9" s="4" t="inlineStr">
        <is>
          <t>Classification (Red Flag / Negotiation Relevant / Integration Item / Observation)</t>
        </is>
      </c>
      <c r="W9" s="4" t="inlineStr">
        <is>
          <t>Suggested Action</t>
        </is>
      </c>
    </row>
    <row r="10" ht="54" customHeight="1">
      <c r="A10" s="5" t="inlineStr">
        <is>
          <t>TMP-SEC-001</t>
        </is>
      </c>
      <c r="B10" s="5" t="inlineStr">
        <is>
          <t>Illustrative vulnerability record — example only</t>
        </is>
      </c>
      <c r="C10" s="5" t="inlineStr">
        <is>
          <t>Vulnerability</t>
        </is>
      </c>
      <c r="D10" s="5" t="inlineStr">
        <is>
          <t>Application Component | ServiceName | src/Path/File.ext | Endpoint: /api/example/resource</t>
        </is>
      </c>
      <c r="E10" s="5" t="inlineStr">
        <is>
          <t>CWE-XXX | Standard / Framework Mapping</t>
        </is>
      </c>
      <c r="F10" s="5" t="inlineStr">
        <is>
          <t>Illustrative example record only — replace with the validated finding description for the actual assessment.</t>
        </is>
      </c>
      <c r="G10" s="5" t="inlineStr">
        <is>
          <t>Illustrative example only — replace with the actual evidence reference / evidence summary.</t>
        </is>
      </c>
      <c r="H10" s="6" t="inlineStr">
        <is>
          <t>Validated finding
(Example only)</t>
        </is>
      </c>
      <c r="I10" s="6" t="inlineStr">
        <is>
          <t>High</t>
        </is>
      </c>
      <c r="J10" s="7" t="n">
        <v>4</v>
      </c>
      <c r="K10" s="7" t="n">
        <v>5</v>
      </c>
      <c r="L10" s="7" t="n">
        <v>4</v>
      </c>
      <c r="M10" s="7" t="n">
        <v>4</v>
      </c>
      <c r="N10" s="7" t="n">
        <v>4</v>
      </c>
      <c r="O10" s="7" t="n">
        <v>2</v>
      </c>
      <c r="P10" s="7" t="n">
        <v>4</v>
      </c>
      <c r="Q10" s="8">
        <f t="array" ref="Q10">IF(COUNT(J10:L10)&lt;3,"",ROUND(J10*'Scoring Parameters'!$B$2+K10*'Scoring Parameters'!$B$3+L10*'Scoring Parameters'!$B$4,2))</f>
        <v/>
      </c>
      <c r="R10" s="8">
        <f t="array" ref="R10">IF(OR(Q10="",M10=""),"",ROUND(Q10*'Scoring Parameters'!$B$5+M10*'Scoring Parameters'!$B$6,2))</f>
        <v/>
      </c>
      <c r="S10" s="8">
        <f t="array" ref="S10">IF(COUNT(N10:P10)&lt;3,"",ROUND(P10*'Scoring Parameters'!$B$7+N10*'Scoring Parameters'!$B$8+O10*'Scoring Parameters'!$B$9,2))</f>
        <v/>
      </c>
      <c r="T10" s="9">
        <f t="array" ref="T10">IF(OR(R10="",S10=""),"",ROUND(MAX(R10,S10),2))</f>
        <v/>
      </c>
      <c r="U10" s="10">
        <f t="array" ref="U10">IF(T10="","",IF(ROUND(T10,1)&lt;=1.8,"A",IF(ROUND(T10,1)&lt;=2.6,"B",IF(ROUND(T10,1)&lt;=3.4,"C",IF(ROUND(T10,1)&lt;=4.2,"D","E")))))</f>
        <v/>
      </c>
      <c r="V10" s="5" t="inlineStr">
        <is>
          <t>Illustrative Example</t>
        </is>
      </c>
      <c r="W10" s="5" t="inlineStr">
        <is>
          <t>Replace with the suggested action for the actual finding</t>
        </is>
      </c>
    </row>
  </sheetData>
  <mergeCells count="12">
    <mergeCell ref="I6:W6"/>
    <mergeCell ref="A1:W1"/>
    <mergeCell ref="I7:W7"/>
    <mergeCell ref="B5:G5"/>
    <mergeCell ref="A8:W8"/>
    <mergeCell ref="H4:W4"/>
    <mergeCell ref="A4:G4"/>
    <mergeCell ref="A3:W3"/>
    <mergeCell ref="I5:W5"/>
    <mergeCell ref="A2:W2"/>
    <mergeCell ref="B7:G7"/>
    <mergeCell ref="B6:G6"/>
  </mergeCells>
  <pageMargins left="0.7" right="0.7" top="0.75" bottom="0.75" header="0.3" footer="0.3"/>
  <pageSetup orientation="portrait"/>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
  <sheetViews>
    <sheetView showGridLines="0" workbookViewId="0">
      <selection activeCell="A4" sqref="A4"/>
    </sheetView>
  </sheetViews>
  <sheetFormatPr baseColWidth="8" defaultColWidth="8.85546875" defaultRowHeight="15" customHeight="1"/>
  <cols>
    <col width="28" customWidth="1" min="1" max="1"/>
    <col width="14" customWidth="1" min="2" max="2"/>
    <col width="8.85546875" customWidth="1" min="3" max="6"/>
  </cols>
  <sheetData>
    <row r="1" ht="13.5" customHeight="1">
      <c r="A1" s="11" t="inlineStr">
        <is>
          <t>Parameter</t>
        </is>
      </c>
      <c r="B1" s="11" t="inlineStr">
        <is>
          <t>Value</t>
        </is>
      </c>
      <c r="C1" s="1" t="n"/>
      <c r="D1" s="1" t="n"/>
      <c r="E1" s="1" t="n"/>
    </row>
    <row r="2" ht="13.5" customHeight="1">
      <c r="A2" s="11" t="inlineStr">
        <is>
          <t>Inherent_Likelihood_w</t>
        </is>
      </c>
      <c r="B2" s="12" t="n">
        <v>0.35</v>
      </c>
      <c r="C2" s="1" t="n"/>
      <c r="D2" s="1" t="n"/>
      <c r="E2" s="1" t="n"/>
    </row>
    <row r="3" ht="13.5" customHeight="1">
      <c r="A3" s="11" t="inlineStr">
        <is>
          <t>Inherent_Tech_w</t>
        </is>
      </c>
      <c r="B3" s="12" t="n">
        <v>0.4</v>
      </c>
      <c r="C3" s="1" t="n"/>
      <c r="D3" s="1" t="n"/>
      <c r="E3" s="1" t="n"/>
    </row>
    <row r="4" ht="13.5" customHeight="1">
      <c r="A4" s="11" t="inlineStr">
        <is>
          <t>Inherent_Business_w</t>
        </is>
      </c>
      <c r="B4" s="12" t="n">
        <v>0.25</v>
      </c>
      <c r="C4" s="1" t="n"/>
      <c r="D4" s="1" t="n"/>
      <c r="E4" s="1" t="n"/>
    </row>
    <row r="5" ht="13.5" customHeight="1">
      <c r="A5" s="11" t="inlineStr">
        <is>
          <t>Residual_Inherent_w</t>
        </is>
      </c>
      <c r="B5" s="12" t="n">
        <v>0.7</v>
      </c>
      <c r="C5" s="1" t="n"/>
      <c r="D5" s="1" t="n"/>
      <c r="E5" s="1" t="n"/>
    </row>
    <row r="6" ht="13.5" customHeight="1">
      <c r="A6" s="11" t="inlineStr">
        <is>
          <t>Residual_Control_w</t>
        </is>
      </c>
      <c r="B6" s="12" t="n">
        <v>0.3</v>
      </c>
      <c r="C6" s="1" t="n"/>
      <c r="D6" s="1" t="n"/>
      <c r="E6" s="1" t="n"/>
    </row>
    <row r="7" ht="13.5" customHeight="1">
      <c r="A7" s="11" t="inlineStr">
        <is>
          <t>Materiality_Transaction_w</t>
        </is>
      </c>
      <c r="B7" s="12" t="n">
        <v>0.5</v>
      </c>
      <c r="C7" s="1" t="n"/>
      <c r="D7" s="1" t="n"/>
      <c r="E7" s="1" t="n"/>
    </row>
    <row r="8" ht="13.5" customHeight="1">
      <c r="A8" s="11" t="inlineStr">
        <is>
          <t>Materiality_Compliance_w</t>
        </is>
      </c>
      <c r="B8" s="12" t="n">
        <v>0.25</v>
      </c>
      <c r="C8" s="1" t="n"/>
      <c r="D8" s="1" t="n"/>
      <c r="E8" s="1" t="n"/>
    </row>
    <row r="9" ht="13.5" customHeight="1">
      <c r="A9" s="11" t="inlineStr">
        <is>
          <t>Materiality_Remediation_w</t>
        </is>
      </c>
      <c r="B9" s="12" t="n">
        <v>0.25</v>
      </c>
      <c r="C9" s="1" t="n"/>
      <c r="D9" s="1" t="n"/>
      <c r="E9" s="1" t="n"/>
    </row>
    <row r="10" ht="13.5" customHeight="1">
      <c r="A10" s="1" t="n"/>
      <c r="B10" s="1" t="n"/>
      <c r="C10" s="1" t="n"/>
      <c r="D10" s="1" t="n"/>
      <c r="E10" s="1"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tabColor rgb="FF7030A0"/>
    <outlinePr summaryBelow="1" summaryRight="1"/>
    <pageSetUpPr/>
  </sheetPr>
  <dimension ref="A1:M10"/>
  <sheetViews>
    <sheetView showGridLines="0" workbookViewId="0">
      <selection activeCell="A3" sqref="A3:M3"/>
    </sheetView>
  </sheetViews>
  <sheetFormatPr baseColWidth="8" defaultColWidth="8.85546875" defaultRowHeight="15" customHeight="1"/>
  <cols>
    <col width="14" customWidth="1" style="13" min="1" max="1"/>
    <col width="30" customWidth="1" style="13" min="2" max="2"/>
    <col width="34" customWidth="1" style="13" min="3" max="3"/>
    <col width="26" customWidth="1" style="13" min="4" max="4"/>
    <col width="18" customWidth="1" style="13" min="5" max="5"/>
    <col width="14" customWidth="1" style="13" min="6" max="6"/>
    <col width="12" customWidth="1" style="13" min="7" max="7"/>
    <col width="11" customWidth="1" style="13" min="8" max="8"/>
    <col width="8" customWidth="1" style="13" min="9" max="9"/>
    <col width="20" customWidth="1" style="13" min="10" max="10"/>
    <col width="36" customWidth="1" style="13" min="11" max="11"/>
    <col width="30" customWidth="1" style="13" min="12" max="12"/>
    <col width="28" customWidth="1" style="13" min="13" max="13"/>
    <col width="8.85546875" customWidth="1" style="13" min="14" max="15"/>
    <col width="8.85546875" customWidth="1" style="13" min="16" max="16384"/>
  </cols>
  <sheetData>
    <row r="1" ht="24" customHeight="1">
      <c r="A1" s="26" t="inlineStr">
        <is>
          <t>Executive Vulnerability Findings</t>
        </is>
      </c>
      <c r="B1" s="33" t="n"/>
      <c r="C1" s="33" t="n"/>
      <c r="D1" s="33" t="n"/>
      <c r="E1" s="33" t="n"/>
      <c r="F1" s="33" t="n"/>
      <c r="G1" s="33" t="n"/>
      <c r="H1" s="33" t="n"/>
      <c r="I1" s="33" t="n"/>
      <c r="J1" s="33" t="n"/>
      <c r="K1" s="33" t="n"/>
      <c r="L1" s="33" t="n"/>
      <c r="M1" s="34" t="n"/>
    </row>
    <row r="2" ht="20.1" customHeight="1">
      <c r="A2" s="30" t="inlineStr">
        <is>
          <t>Executive view focused exclusively on findings classified as Vulnerability — any record shown below is an illustrative example only</t>
        </is>
      </c>
      <c r="M2" s="36" t="n"/>
    </row>
    <row r="3" ht="56.1" customHeight="1">
      <c r="A3" s="30" t="inlineStr">
        <is>
          <t>Methodological note: this sheet reports exclusively the findings classified as Vulnerability. In this template version, any finding shown is an illustrative example record only, included solely to show the expected structure of the executive register and to be fully replaced with actual assessment data.</t>
        </is>
      </c>
      <c r="M3" s="36" t="n"/>
    </row>
    <row r="4" ht="13.5" customHeight="1">
      <c r="A4" s="14" t="n"/>
      <c r="B4" s="35" t="n"/>
      <c r="C4" s="35" t="n"/>
      <c r="D4" s="35" t="n"/>
      <c r="E4" s="35" t="n"/>
      <c r="F4" s="35" t="n"/>
      <c r="G4" s="35" t="n"/>
      <c r="H4" s="35" t="n"/>
      <c r="I4" s="35" t="n"/>
      <c r="J4" s="35" t="n"/>
      <c r="K4" s="35" t="n"/>
      <c r="L4" s="35" t="n"/>
      <c r="M4" s="16" t="n"/>
    </row>
    <row r="5" ht="21.95" customHeight="1">
      <c r="A5" s="31" t="inlineStr">
        <is>
          <t>Executive view</t>
        </is>
      </c>
      <c r="B5" s="37" t="n"/>
      <c r="C5" s="37" t="n"/>
      <c r="D5" s="37" t="n"/>
      <c r="E5" s="37" t="n"/>
      <c r="F5" s="37" t="n"/>
      <c r="G5" s="37" t="n"/>
      <c r="H5" s="37" t="n"/>
      <c r="I5" s="37" t="n"/>
      <c r="J5" s="37" t="n"/>
      <c r="K5" s="37" t="n"/>
      <c r="L5" s="37" t="n"/>
      <c r="M5" s="38" t="n"/>
    </row>
    <row r="6" ht="38.1" customHeight="1">
      <c r="A6" s="4" t="inlineStr">
        <is>
          <t>Finding ID</t>
        </is>
      </c>
      <c r="B6" s="4" t="inlineStr">
        <is>
          <t>Title</t>
        </is>
      </c>
      <c r="C6" s="4" t="inlineStr">
        <is>
          <t>Affected Asset</t>
        </is>
      </c>
      <c r="D6" s="4" t="inlineStr">
        <is>
          <t>Taxonomy / Standard Mapping</t>
        </is>
      </c>
      <c r="E6" s="4" t="inlineStr">
        <is>
          <t>Validation Status</t>
        </is>
      </c>
      <c r="F6" s="4" t="inlineStr">
        <is>
          <t>Evidence Confidence</t>
        </is>
      </c>
      <c r="G6" s="4" t="inlineStr">
        <is>
          <t>Residual Risk</t>
        </is>
      </c>
      <c r="H6" s="4" t="inlineStr">
        <is>
          <t>Final Score</t>
        </is>
      </c>
      <c r="I6" s="4" t="inlineStr">
        <is>
          <t>Grade</t>
        </is>
      </c>
      <c r="J6" s="4" t="inlineStr">
        <is>
          <t>Classification</t>
        </is>
      </c>
      <c r="K6" s="4" t="inlineStr">
        <is>
          <t>Executive Description</t>
        </is>
      </c>
      <c r="L6" s="4" t="inlineStr">
        <is>
          <t>Key Evidence</t>
        </is>
      </c>
      <c r="M6" s="4" t="inlineStr">
        <is>
          <t>Suggested Action</t>
        </is>
      </c>
    </row>
    <row r="7" ht="54" customHeight="1">
      <c r="A7" s="17">
        <f t="array" ref="A7">'Risk Register'!A10</f>
        <v/>
      </c>
      <c r="B7" s="17">
        <f t="array" ref="B7">'Risk Register'!B10</f>
        <v/>
      </c>
      <c r="C7" s="17">
        <f t="array" ref="C7">'Risk Register'!D10</f>
        <v/>
      </c>
      <c r="D7" s="17">
        <f t="array" ref="D7">'Risk Register'!E10</f>
        <v/>
      </c>
      <c r="E7" s="18">
        <f t="array" ref="E7">'Risk Register'!H10</f>
        <v/>
      </c>
      <c r="F7" s="18">
        <f t="array" ref="F7">'Risk Register'!I10</f>
        <v/>
      </c>
      <c r="G7" s="8">
        <f t="array" ref="G7">'Risk Register'!R10</f>
        <v/>
      </c>
      <c r="H7" s="9">
        <f t="array" ref="H7">'Risk Register'!T10</f>
        <v/>
      </c>
      <c r="I7" s="10">
        <f t="array" ref="I7">'Risk Register'!U10</f>
        <v/>
      </c>
      <c r="J7" s="17">
        <f t="array" ref="J7">'Risk Register'!V10</f>
        <v/>
      </c>
      <c r="K7" s="17">
        <f t="array" ref="K7">'Risk Register'!F10</f>
        <v/>
      </c>
      <c r="L7" s="17">
        <f t="array" ref="L7">'Risk Register'!G10</f>
        <v/>
      </c>
      <c r="M7" s="17">
        <f t="array" ref="M7">'Risk Register'!W10</f>
        <v/>
      </c>
    </row>
    <row r="8" ht="13.5" customHeight="1">
      <c r="A8" s="19" t="n"/>
      <c r="B8" s="20" t="n"/>
      <c r="C8" s="20" t="n"/>
      <c r="D8" s="20" t="n"/>
      <c r="E8" s="20" t="n"/>
      <c r="F8" s="20" t="n"/>
      <c r="G8" s="20" t="n"/>
      <c r="H8" s="20" t="n"/>
      <c r="I8" s="20" t="n"/>
      <c r="J8" s="20" t="n"/>
      <c r="K8" s="20" t="n"/>
      <c r="L8" s="20" t="n"/>
      <c r="M8" s="21" t="n"/>
    </row>
    <row r="9" ht="12" customHeight="1">
      <c r="A9" s="32" t="inlineStr">
        <is>
          <t>Internal use — confidential | reusable template</t>
        </is>
      </c>
      <c r="M9" s="36" t="n"/>
    </row>
    <row r="10" ht="13.5" customHeight="1">
      <c r="A10" s="22" t="n"/>
      <c r="B10" s="23" t="n"/>
      <c r="C10" s="23" t="n"/>
      <c r="D10" s="23" t="n"/>
      <c r="E10" s="23" t="n"/>
      <c r="F10" s="23" t="n"/>
      <c r="G10" s="23" t="n"/>
      <c r="H10" s="23" t="n"/>
      <c r="I10" s="23" t="n"/>
      <c r="J10" s="23" t="n"/>
      <c r="K10" s="23" t="n"/>
      <c r="L10" s="23" t="n"/>
      <c r="M10" s="24" t="n"/>
    </row>
  </sheetData>
  <mergeCells count="5">
    <mergeCell ref="A1:M1"/>
    <mergeCell ref="A5:M5"/>
    <mergeCell ref="A9:M9"/>
    <mergeCell ref="A3:M3"/>
    <mergeCell ref="A2:M2"/>
  </mergeCells>
  <pageMargins left="0.7" right="0.7" top="0.75" bottom="0.75" header="0.3" footer="0.3"/>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AppVersion>16.0000</AppVersion>
</Properties>
</file>

<file path=docProps/core.xml><?xml version="1.0" encoding="utf-8"?>
<cp:coreProperties xmlns:cp="http://schemas.openxmlformats.org/package/2006/metadata/core-properties" xmlns:dc="http://purl.org/dc/elements/1.1/" xmlns:dcterms="http://purl.org/dc/terms/" xmlns:xsi="http://www.w3.org/2001/XMLSchema-instance">
  <dc:creator>Amelie Lens</dc:creator>
  <dcterms:created xsi:type="dcterms:W3CDTF">2097-12-31T00:00:00Z</dcterms:created>
  <dcterms:modified xsi:type="dcterms:W3CDTF">2097-12-31T00:00:00Z</dcterms:modified>
  <cp:lastModifiedBy>Amelie Lens</cp:lastModifiedBy>
</cp:coreProperties>
</file>